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ashboard" state="visible" r:id="rId4"/>
    <sheet sheetId="2" name="MRR Tracker" state="visible" r:id="rId5"/>
    <sheet sheetId="3" name="Revenue Log" state="visible" r:id="rId6"/>
    <sheet sheetId="4" name="Expenses" state="visible" r:id="rId7"/>
    <sheet sheetId="5" name="Tax &amp; Profit" state="visible" r:id="rId8"/>
  </sheets>
  <calcPr calcId="171027"/>
</workbook>
</file>

<file path=xl/sharedStrings.xml><?xml version="1.0" encoding="utf-8"?>
<sst xmlns="http://schemas.openxmlformats.org/spreadsheetml/2006/main" count="167" uniqueCount="124">
  <si>
    <t>UK COOKIE CONSENT — PROJECT FINANCES</t>
  </si>
  <si>
    <t>SaaS Subscription Revenue &amp; Expense Tracker — 2026</t>
  </si>
  <si>
    <t>REVENUE &amp; PROFIT</t>
  </si>
  <si>
    <t>MONTHLY P&amp;L SUMMARY</t>
  </si>
  <si>
    <t>Monthly Recurring Revenue (MRR)</t>
  </si>
  <si>
    <t>Month</t>
  </si>
  <si>
    <t>Revenue</t>
  </si>
  <si>
    <t>Expenses</t>
  </si>
  <si>
    <t>Net Profit</t>
  </si>
  <si>
    <t>Annual Recurring Revenue (ARR)</t>
  </si>
  <si>
    <t>Jan</t>
  </si>
  <si>
    <t>Total Revenue (YTD)</t>
  </si>
  <si>
    <t>Feb</t>
  </si>
  <si>
    <t>Total Expenses (YTD)</t>
  </si>
  <si>
    <t>Mar</t>
  </si>
  <si>
    <t>Net Profit (YTD)</t>
  </si>
  <si>
    <t>Apr</t>
  </si>
  <si>
    <t>Profit Margin</t>
  </si>
  <si>
    <t>May</t>
  </si>
  <si>
    <t>Jun</t>
  </si>
  <si>
    <t>SUBSCRIBERS</t>
  </si>
  <si>
    <t>Jul</t>
  </si>
  <si>
    <t>Total Active Subscribers</t>
  </si>
  <si>
    <t>Aug</t>
  </si>
  <si>
    <t>Free Plan Users</t>
  </si>
  <si>
    <t>Sep</t>
  </si>
  <si>
    <t>Paid Subscribers</t>
  </si>
  <si>
    <t>Oct</t>
  </si>
  <si>
    <t>Churned (YTD)</t>
  </si>
  <si>
    <t>Nov</t>
  </si>
  <si>
    <t>Churn Rate</t>
  </si>
  <si>
    <t>Dec</t>
  </si>
  <si>
    <t>Avg Revenue Per User (ARPU)</t>
  </si>
  <si>
    <t>TOTAL</t>
  </si>
  <si>
    <t>EXPENSE BREAKDOWN</t>
  </si>
  <si>
    <t>Category</t>
  </si>
  <si>
    <t>YTD Amount</t>
  </si>
  <si>
    <t>% of Expenses</t>
  </si>
  <si>
    <t>Hosting/Vercel</t>
  </si>
  <si>
    <t>Supabase/DB</t>
  </si>
  <si>
    <t>Domain &amp; SSL</t>
  </si>
  <si>
    <t>Stripe Fees</t>
  </si>
  <si>
    <t>Software/Tools</t>
  </si>
  <si>
    <t>Marketing</t>
  </si>
  <si>
    <t>Contractors</t>
  </si>
  <si>
    <t>Other</t>
  </si>
  <si>
    <t>Subscriber ID</t>
  </si>
  <si>
    <t>Status</t>
  </si>
  <si>
    <t>Plan Type</t>
  </si>
  <si>
    <t>MRR ($)</t>
  </si>
  <si>
    <t>Start Date</t>
  </si>
  <si>
    <t>Churn Date</t>
  </si>
  <si>
    <t>Stripe Customer ID</t>
  </si>
  <si>
    <t>Email</t>
  </si>
  <si>
    <t>Notes</t>
  </si>
  <si>
    <t>Date</t>
  </si>
  <si>
    <t>Type</t>
  </si>
  <si>
    <t>Description</t>
  </si>
  <si>
    <t>Amount</t>
  </si>
  <si>
    <t>Stripe Fee</t>
  </si>
  <si>
    <t>Net Amount</t>
  </si>
  <si>
    <t>Payment Status</t>
  </si>
  <si>
    <t>Stripe Charge ID</t>
  </si>
  <si>
    <t>cus_U9Z2a3mtbhrVBh</t>
  </si>
  <si>
    <t>One-Time</t>
  </si>
  <si>
    <t/>
  </si>
  <si>
    <t>Paid</t>
  </si>
  <si>
    <t>ch_3TBFu6ANLJbikAiY12yL7hE1</t>
  </si>
  <si>
    <t>Vendor</t>
  </si>
  <si>
    <t>Billing Cycle</t>
  </si>
  <si>
    <t>Payment Method</t>
  </si>
  <si>
    <t>Receipt?</t>
  </si>
  <si>
    <t>Tax Deductible?</t>
  </si>
  <si>
    <t>Vercel</t>
  </si>
  <si>
    <t>Vercel Hobby (free tier)</t>
  </si>
  <si>
    <t>Monthly</t>
  </si>
  <si>
    <t>N/A</t>
  </si>
  <si>
    <t>Free tier</t>
  </si>
  <si>
    <t>Supabase</t>
  </si>
  <si>
    <t>Supabase Free tier</t>
  </si>
  <si>
    <t>Resend</t>
  </si>
  <si>
    <t>Resend email (free tier)</t>
  </si>
  <si>
    <t>100 emails/day</t>
  </si>
  <si>
    <t>PostHog</t>
  </si>
  <si>
    <t>PostHog analytics (free tier)</t>
  </si>
  <si>
    <t>1M events/mo</t>
  </si>
  <si>
    <t>Stripe</t>
  </si>
  <si>
    <t>Stripe (no monthly fee)</t>
  </si>
  <si>
    <t>Fees deducted per-txn in Revenue Log</t>
  </si>
  <si>
    <t>Next.js</t>
  </si>
  <si>
    <t>Next.js framework (open source)</t>
  </si>
  <si>
    <t>Free / open source</t>
  </si>
  <si>
    <t>UK COOKIE CONSENT — TAX &amp; PROFIT SUMMARY 2026</t>
  </si>
  <si>
    <t>QUARTERLY BREAKDOWN</t>
  </si>
  <si>
    <t>Q1 (Jan–Mar)</t>
  </si>
  <si>
    <t>Q2 (Apr–Jun)</t>
  </si>
  <si>
    <t>Q3 (Jul–Sep)</t>
  </si>
  <si>
    <t>Q4 (Oct–Dec)</t>
  </si>
  <si>
    <t>Gross Revenue</t>
  </si>
  <si>
    <t>Net Revenue</t>
  </si>
  <si>
    <t>Operating Expenses</t>
  </si>
  <si>
    <t>Est. Tax (25%)</t>
  </si>
  <si>
    <t>ANNUAL TOTALS</t>
  </si>
  <si>
    <t>Total Gross Revenue</t>
  </si>
  <si>
    <t>Total Stripe Fees</t>
  </si>
  <si>
    <t>Total Expenses</t>
  </si>
  <si>
    <t>Est. Annual Tax (25%)</t>
  </si>
  <si>
    <t>Take-Home</t>
  </si>
  <si>
    <t>SAAS DEDUCTIONS CHECKLIST</t>
  </si>
  <si>
    <t>Deduction</t>
  </si>
  <si>
    <t>Tracked?</t>
  </si>
  <si>
    <t>Vercel / Hosting Costs</t>
  </si>
  <si>
    <t>Supabase / Database Costs</t>
  </si>
  <si>
    <t>Domain &amp; SSL Certificates</t>
  </si>
  <si>
    <t>Stripe &amp; Payment Fees</t>
  </si>
  <si>
    <t>Software Subscriptions (dev tools, AI, etc.)</t>
  </si>
  <si>
    <t>Marketing &amp; Ads</t>
  </si>
  <si>
    <t>Contractor / Developer Payments</t>
  </si>
  <si>
    <t>Home Office (Simplified: $5/sq ft)</t>
  </si>
  <si>
    <t>Internet (Business %)</t>
  </si>
  <si>
    <t>Professional Services (Legal, Accounting)</t>
  </si>
  <si>
    <t>Education / Courses</t>
  </si>
  <si>
    <t>Equipment (Laptop, Monitors, etc.)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</si>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</sst>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.00;&quot;($&quot;#,##0.00);-"/>
    <numFmt numFmtId="165" formatCode="$#,##0;&quot;($&quot;#,##0);-"/>
    <numFmt numFmtId="166" formatCode="0.0%"/>
    <numFmt numFmtId="167" formatCode="MM/DD/YYYY"/>
    <numFmt numFmtId="168" formatCode="$#,##0.00;($#,##0.00);&quot;-&quot;"/>
  </numFmts>
  <fonts count="10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Arial"/>
    </font>
    <font>
      <i/>
      <charset val="1"/>
      <color rgb="FFFFFFFF"/>
      <sz val="11"/>
      <name val="Arial"/>
    </font>
    <font>
      <b/>
      <charset val="1"/>
      <color rgb="FF0F2D48"/>
      <sz val="11"/>
      <name val="Arial"/>
    </font>
    <font>
      <b/>
      <charset val="1"/>
      <color rgb="FF0F2D48"/>
      <sz val="10"/>
      <name val="Arial"/>
    </font>
    <font>
      <charset val="1"/>
      <color rgb="FF000000"/>
      <sz val="10"/>
      <name val="Arial"/>
    </font>
    <font>
      <b/>
      <charset val="1"/>
      <color rgb="FFFFFFFF"/>
      <sz val="11"/>
      <name val="Arial"/>
    </font>
    <font>
      <charset val="1"/>
      <color rgb="FF333333"/>
      <sz val="10"/>
      <name val="Arial"/>
    </font>
    <font>
      <charset val="1"/>
      <color rgb="FF0000FF"/>
      <sz val="10"/>
      <name val="Arial"/>
    </font>
    <font>
      <charset val="1"/>
      <color theme="1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D48"/>
        <bgColor rgb="FF333333"/>
      </patternFill>
    </fill>
    <fill>
      <patternFill patternType="solid">
        <fgColor rgb="FF0E7C7B"/>
        <bgColor rgb="FF008080"/>
      </patternFill>
    </fill>
    <fill>
      <patternFill patternType="solid">
        <fgColor rgb="FFEAF4F4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FFFFF"/>
      </patternFill>
    </fill>
  </fills>
  <borders count="2">
    <border>
      <left/>
      <right/>
      <top/>
      <bottom/>
      <diagonal/>
    </border>
    <border>
      <left style="thin">
        <color rgb="FFC8D8D8"/>
      </left>
      <right style="thin">
        <color rgb="FFC8D8D8"/>
      </right>
      <top style="thin">
        <color rgb="FFC8D8D8"/>
      </top>
      <bottom style="thin">
        <color rgb="FFC8D8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bottom"/>
    </xf>
    <xf numFmtId="0" fontId="3" fillId="4" borderId="1" xfId="0" applyFont="1" applyFill="1" applyBorder="1" applyAlignment="1">
      <alignment vertical="bottom"/>
    </xf>
    <xf numFmtId="0" fontId="4" fillId="4" borderId="1" xfId="0" applyFont="1" applyFill="1" applyBorder="1" applyAlignment="1">
      <alignment vertical="bottom"/>
    </xf>
    <xf numFmtId="164" fontId="5" fillId="4" borderId="1" xfId="0" applyNumberFormat="1" applyFont="1" applyFill="1" applyBorder="1" applyAlignment="1">
      <alignment vertical="bottom"/>
    </xf>
    <xf numFmtId="0" fontId="6" fillId="3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164" fontId="5" fillId="5" borderId="1" xfId="0" applyNumberFormat="1" applyFont="1" applyFill="1" applyBorder="1" applyAlignment="1">
      <alignment vertical="bottom"/>
    </xf>
    <xf numFmtId="165" fontId="5" fillId="5" borderId="1" xfId="0" applyNumberFormat="1" applyFont="1" applyFill="1" applyBorder="1" applyAlignment="1">
      <alignment vertical="bottom"/>
    </xf>
    <xf numFmtId="165" fontId="5" fillId="4" borderId="1" xfId="0" applyNumberFormat="1" applyFont="1" applyFill="1" applyBorder="1" applyAlignment="1">
      <alignment vertical="bottom"/>
    </xf>
    <xf numFmtId="166" fontId="5" fillId="5" borderId="1" xfId="0" applyNumberFormat="1" applyFont="1" applyFill="1" applyBorder="1" applyAlignment="1">
      <alignment vertical="bottom"/>
    </xf>
    <xf numFmtId="3" fontId="5" fillId="4" borderId="1" xfId="0" applyNumberFormat="1" applyFont="1" applyFill="1" applyBorder="1" applyAlignment="1">
      <alignment vertical="bottom"/>
    </xf>
    <xf numFmtId="3" fontId="5" fillId="5" borderId="1" xfId="0" applyNumberFormat="1" applyFont="1" applyFill="1" applyBorder="1" applyAlignment="1">
      <alignment vertical="bottom"/>
    </xf>
    <xf numFmtId="166" fontId="5" fillId="4" borderId="1" xfId="0" applyNumberFormat="1" applyFont="1" applyFill="1" applyBorder="1" applyAlignment="1">
      <alignment vertical="bottom"/>
    </xf>
    <xf numFmtId="0" fontId="7" fillId="5" borderId="1" xfId="0" applyFont="1" applyFill="1" applyBorder="1" applyAlignment="1">
      <alignment vertical="bottom"/>
    </xf>
    <xf numFmtId="0" fontId="7" fillId="4" borderId="1" xfId="0" applyFont="1" applyFill="1" applyBorder="1" applyAlignment="1">
      <alignment vertical="bottom"/>
    </xf>
    <xf numFmtId="0" fontId="6" fillId="3" borderId="1" xfId="0" applyFont="1" applyFill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4" fontId="8" fillId="4" borderId="1" xfId="0" applyNumberFormat="1" applyFont="1" applyFill="1" applyBorder="1" applyAlignment="1">
      <alignment vertical="bottom"/>
    </xf>
    <xf numFmtId="0" fontId="8" fillId="4" borderId="1" xfId="0" applyFont="1" applyFill="1" applyBorder="1" applyAlignment="1">
      <alignment vertical="bottom"/>
    </xf>
    <xf numFmtId="164" fontId="8" fillId="5" borderId="1" xfId="0" applyNumberFormat="1" applyFont="1" applyFill="1" applyBorder="1" applyAlignment="1">
      <alignment vertical="bottom"/>
    </xf>
    <xf numFmtId="0" fontId="8" fillId="5" borderId="1" xfId="0" applyFont="1" applyFill="1" applyBorder="1" applyAlignment="1">
      <alignment vertical="bottom"/>
    </xf>
    <xf numFmtId="0" fontId="4" fillId="6" borderId="1" xfId="0" applyFont="1" applyFill="1" applyBorder="1" applyAlignment="1">
      <alignment vertical="bottom"/>
    </xf>
    <xf numFmtId="164" fontId="5" fillId="6" borderId="1" xfId="0" applyNumberFormat="1" applyFont="1" applyFill="1" applyBorder="1" applyAlignment="1">
      <alignment vertical="bottom"/>
    </xf>
    <xf numFmtId="0" fontId="9" fillId="6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D48"/>
  </sheetPr>
  <dimension ref="A1:H2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8" customWidth="1"/>
    <col min="2" max="2" width="20" customWidth="1"/>
    <col min="3" max="4" width="5" customWidth="1"/>
    <col min="5" max="5" width="20" customWidth="1"/>
    <col min="6" max="8" width="16" customWidth="1"/>
  </cols>
  <sheetData>
    <row r="1" ht="4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5" customHeight="1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ht="15" customHeight="1" spans="1:8" x14ac:dyDescent="0.25">
      <c r="A5" s="4" t="s">
        <v>4</v>
      </c>
      <c r="B5" s="5">
        <f>IFERROR(SUMIF('MRR Tracker'!B2:B500,"Active",'MRR Tracker'!D2:D500),0)</f>
        <v>0</v>
      </c>
      <c r="E5" s="6" t="s">
        <v>5</v>
      </c>
      <c r="F5" s="6" t="s">
        <v>6</v>
      </c>
      <c r="G5" s="6" t="s">
        <v>7</v>
      </c>
      <c r="H5" s="6" t="s">
        <v>8</v>
      </c>
    </row>
    <row r="6" ht="15" customHeight="1" spans="1:8" x14ac:dyDescent="0.25">
      <c r="A6" s="7" t="s">
        <v>9</v>
      </c>
      <c r="B6" s="8">
        <f>B5*12</f>
        <v>0</v>
      </c>
      <c r="E6" s="7" t="s">
        <v>10</v>
      </c>
      <c r="F6" s="9">
        <f>SUMPRODUCT((MONTH('Revenue Log'!A2:A500)=1)*(YEAR('Revenue Log'!A2:A500)=2026)*('Revenue Log'!E2:E500))</f>
        <v>0</v>
      </c>
      <c r="G6" s="9">
        <f>SUMPRODUCT((MONTH(Expenses!A2:A500)=1)*(YEAR(Expenses!A2:A500)=2026)*(Expenses!E2:E500))</f>
        <v>0</v>
      </c>
      <c r="H6" s="9">
        <f>F6-G6</f>
        <v>0</v>
      </c>
    </row>
    <row r="7" ht="15" customHeight="1" spans="1:8" x14ac:dyDescent="0.25">
      <c r="A7" s="4" t="s">
        <v>11</v>
      </c>
      <c r="B7" s="5">
        <f>SUMIF('Revenue Log'!A2:A500,"&gt;="&amp;DATE(2026,1,1),'Revenue Log'!E2:E500)</f>
        <v>0</v>
      </c>
      <c r="E7" s="4" t="s">
        <v>12</v>
      </c>
      <c r="F7" s="10">
        <f>SUMPRODUCT((MONTH('Revenue Log'!A2:A500)=2)*(YEAR('Revenue Log'!A2:A500)=2026)*('Revenue Log'!E2:E500))</f>
        <v>0</v>
      </c>
      <c r="G7" s="10">
        <f>SUMPRODUCT((MONTH(Expenses!A2:A500)=2)*(YEAR(Expenses!A2:A500)=2026)*(Expenses!E2:E500))</f>
        <v>0</v>
      </c>
      <c r="H7" s="10">
        <f>F7-G7</f>
        <v>0</v>
      </c>
    </row>
    <row r="8" ht="15" customHeight="1" spans="1:8" x14ac:dyDescent="0.25">
      <c r="A8" s="7" t="s">
        <v>13</v>
      </c>
      <c r="B8" s="8">
        <f>SUMPRODUCT((Expenses!E2:E500)*(Expenses!A2:A500&lt;&gt;""))</f>
        <v>0</v>
      </c>
      <c r="E8" s="7" t="s">
        <v>14</v>
      </c>
      <c r="F8" s="9">
        <f>SUMPRODUCT((MONTH('Revenue Log'!A2:A500)=3)*(YEAR('Revenue Log'!A2:A500)=2026)*('Revenue Log'!E2:E500))</f>
        <v>0</v>
      </c>
      <c r="G8" s="9">
        <f>SUMPRODUCT((MONTH(Expenses!A2:A500)=3)*(YEAR(Expenses!A2:A500)=2026)*(Expenses!E2:E500))</f>
        <v>0</v>
      </c>
      <c r="H8" s="9">
        <f>F8-G8</f>
        <v>0</v>
      </c>
    </row>
    <row r="9" ht="15" customHeight="1" spans="1:8" x14ac:dyDescent="0.25">
      <c r="A9" s="4" t="s">
        <v>15</v>
      </c>
      <c r="B9" s="5">
        <f>B7-B8</f>
        <v>0</v>
      </c>
      <c r="E9" s="4" t="s">
        <v>16</v>
      </c>
      <c r="F9" s="10">
        <f>SUMPRODUCT((MONTH('Revenue Log'!A2:A500)=4)*(YEAR('Revenue Log'!A2:A500)=2026)*('Revenue Log'!E2:E500))</f>
        <v>0</v>
      </c>
      <c r="G9" s="10">
        <f>SUMPRODUCT((MONTH(Expenses!A2:A500)=4)*(YEAR(Expenses!A2:A500)=2026)*(Expenses!E2:E500))</f>
        <v>0</v>
      </c>
      <c r="H9" s="10">
        <f>F9-G9</f>
        <v>0</v>
      </c>
    </row>
    <row r="10" ht="15" customHeight="1" spans="1:8" x14ac:dyDescent="0.25">
      <c r="A10" s="7" t="s">
        <v>17</v>
      </c>
      <c r="B10" s="11">
        <f>IF(B7=0,0,B9/B7)</f>
        <v>0</v>
      </c>
      <c r="E10" s="7" t="s">
        <v>18</v>
      </c>
      <c r="F10" s="9">
        <f>SUMPRODUCT((MONTH('Revenue Log'!A2:A500)=5)*(YEAR('Revenue Log'!A2:A500)=2026)*('Revenue Log'!E2:E500))</f>
        <v>0</v>
      </c>
      <c r="G10" s="9">
        <f>SUMPRODUCT((MONTH(Expenses!A2:A500)=5)*(YEAR(Expenses!A2:A500)=2026)*(Expenses!E2:E500))</f>
        <v>0</v>
      </c>
      <c r="H10" s="9">
        <f>F10-G10</f>
        <v>0</v>
      </c>
    </row>
    <row r="11" ht="15" customHeight="1" spans="5:8" x14ac:dyDescent="0.25">
      <c r="E11" s="4" t="s">
        <v>19</v>
      </c>
      <c r="F11" s="10">
        <f>SUMPRODUCT((MONTH('Revenue Log'!A2:A500)=6)*(YEAR('Revenue Log'!A2:A500)=2026)*('Revenue Log'!E2:E500))</f>
        <v>0</v>
      </c>
      <c r="G11" s="10">
        <f>SUMPRODUCT((MONTH(Expenses!A2:A500)=6)*(YEAR(Expenses!A2:A500)=2026)*(Expenses!E2:E500))</f>
        <v>0</v>
      </c>
      <c r="H11" s="10">
        <f>F11-G11</f>
        <v>0</v>
      </c>
    </row>
    <row r="12" ht="15" customHeight="1" spans="1:8" x14ac:dyDescent="0.25">
      <c r="A12" s="3" t="s">
        <v>20</v>
      </c>
      <c r="B12" s="3"/>
      <c r="C12" s="3"/>
      <c r="D12" s="3"/>
      <c r="E12" s="7" t="s">
        <v>21</v>
      </c>
      <c r="F12" s="9">
        <f>SUMPRODUCT((MONTH('Revenue Log'!A2:A500)=7)*(YEAR('Revenue Log'!A2:A500)=2026)*('Revenue Log'!E2:E500))</f>
        <v>0</v>
      </c>
      <c r="G12" s="9">
        <f>SUMPRODUCT((MONTH(Expenses!A2:A500)=7)*(YEAR(Expenses!A2:A500)=2026)*(Expenses!E2:E500))</f>
        <v>0</v>
      </c>
      <c r="H12" s="9">
        <f>F12-G12</f>
        <v>0</v>
      </c>
    </row>
    <row r="13" ht="15" customHeight="1" spans="1:8" x14ac:dyDescent="0.25">
      <c r="A13" s="4" t="s">
        <v>22</v>
      </c>
      <c r="B13" s="12">
        <f>COUNTIF('MRR Tracker'!B2:B500,"Active")</f>
        <v>0</v>
      </c>
      <c r="E13" s="4" t="s">
        <v>23</v>
      </c>
      <c r="F13" s="10">
        <f>SUMPRODUCT((MONTH('Revenue Log'!A2:A500)=8)*(YEAR('Revenue Log'!A2:A500)=2026)*('Revenue Log'!E2:E500))</f>
        <v>0</v>
      </c>
      <c r="G13" s="10">
        <f>SUMPRODUCT((MONTH(Expenses!A2:A500)=8)*(YEAR(Expenses!A2:A500)=2026)*(Expenses!E2:E500))</f>
        <v>0</v>
      </c>
      <c r="H13" s="10">
        <f>F13-G13</f>
        <v>0</v>
      </c>
    </row>
    <row r="14" ht="15" customHeight="1" spans="1:8" x14ac:dyDescent="0.25">
      <c r="A14" s="7" t="s">
        <v>24</v>
      </c>
      <c r="B14" s="13">
        <f>COUNTIF('MRR Tracker'!C2:C500,"Free")</f>
        <v>0</v>
      </c>
      <c r="E14" s="7" t="s">
        <v>25</v>
      </c>
      <c r="F14" s="9">
        <f>SUMPRODUCT((MONTH('Revenue Log'!A2:A500)=9)*(YEAR('Revenue Log'!A2:A500)=2026)*('Revenue Log'!E2:E500))</f>
        <v>0</v>
      </c>
      <c r="G14" s="9">
        <f>SUMPRODUCT((MONTH(Expenses!A2:A500)=9)*(YEAR(Expenses!A2:A500)=2026)*(Expenses!E2:E500))</f>
        <v>0</v>
      </c>
      <c r="H14" s="9">
        <f>F14-G14</f>
        <v>0</v>
      </c>
    </row>
    <row r="15" ht="15" customHeight="1" spans="1:8" x14ac:dyDescent="0.25">
      <c r="A15" s="4" t="s">
        <v>26</v>
      </c>
      <c r="B15" s="12">
        <f>COUNTIF('MRR Tracker'!C2:C500,"Paid")</f>
        <v>0</v>
      </c>
      <c r="E15" s="4" t="s">
        <v>27</v>
      </c>
      <c r="F15" s="10">
        <f>SUMPRODUCT((MONTH('Revenue Log'!A2:A500)=10)*(YEAR('Revenue Log'!A2:A500)=2026)*('Revenue Log'!E2:E500))</f>
        <v>0</v>
      </c>
      <c r="G15" s="10">
        <f>SUMPRODUCT((MONTH(Expenses!A2:A500)=10)*(YEAR(Expenses!A2:A500)=2026)*(Expenses!E2:E500))</f>
        <v>0</v>
      </c>
      <c r="H15" s="10">
        <f>F15-G15</f>
        <v>0</v>
      </c>
    </row>
    <row r="16" ht="15" customHeight="1" spans="1:8" x14ac:dyDescent="0.25">
      <c r="A16" s="7" t="s">
        <v>28</v>
      </c>
      <c r="B16" s="13">
        <f>COUNTIF('MRR Tracker'!B2:B500,"Churned")</f>
        <v>0</v>
      </c>
      <c r="E16" s="7" t="s">
        <v>29</v>
      </c>
      <c r="F16" s="9">
        <f>SUMPRODUCT((MONTH('Revenue Log'!A2:A500)=11)*(YEAR('Revenue Log'!A2:A500)=2026)*('Revenue Log'!E2:E500))</f>
        <v>0</v>
      </c>
      <c r="G16" s="9">
        <f>SUMPRODUCT((MONTH(Expenses!A2:A500)=11)*(YEAR(Expenses!A2:A500)=2026)*(Expenses!E2:E500))</f>
        <v>0</v>
      </c>
      <c r="H16" s="9">
        <f>F16-G16</f>
        <v>0</v>
      </c>
    </row>
    <row r="17" ht="15" customHeight="1" spans="1:8" x14ac:dyDescent="0.25">
      <c r="A17" s="4" t="s">
        <v>30</v>
      </c>
      <c r="B17" s="14">
        <f>IF(B13+B16=0,0,B16/(B13+B16))</f>
        <v>0</v>
      </c>
      <c r="E17" s="4" t="s">
        <v>31</v>
      </c>
      <c r="F17" s="10">
        <f>SUMPRODUCT((MONTH('Revenue Log'!A2:A500)=12)*(YEAR('Revenue Log'!A2:A500)=2026)*('Revenue Log'!E2:E500))</f>
        <v>0</v>
      </c>
      <c r="G17" s="10">
        <f>SUMPRODUCT((MONTH(Expenses!A2:A500)=12)*(YEAR(Expenses!A2:A500)=2026)*(Expenses!E2:E500))</f>
        <v>0</v>
      </c>
      <c r="H17" s="10">
        <f>F17-G17</f>
        <v>0</v>
      </c>
    </row>
    <row r="18" ht="15" customHeight="1" spans="1:8" x14ac:dyDescent="0.25">
      <c r="A18" s="7" t="s">
        <v>32</v>
      </c>
      <c r="B18" s="8">
        <f>IF(B15=0,0,B5/B15)</f>
        <v>0</v>
      </c>
      <c r="E18" s="4" t="s">
        <v>33</v>
      </c>
      <c r="F18" s="10">
        <f>SUM(F6:F17)</f>
        <v>0</v>
      </c>
      <c r="G18" s="10">
        <f>SUM(G6:G17)</f>
        <v>0</v>
      </c>
      <c r="H18" s="10">
        <f>SUM(H6:H17)</f>
        <v>0</v>
      </c>
    </row>
    <row r="20" ht="15" customHeight="1" spans="1:4" x14ac:dyDescent="0.25">
      <c r="A20" s="3" t="s">
        <v>34</v>
      </c>
      <c r="B20" s="3"/>
      <c r="C20" s="3"/>
      <c r="D20" s="3"/>
    </row>
    <row r="21" ht="15" customHeight="1" spans="1:3" x14ac:dyDescent="0.25">
      <c r="A21" s="6" t="s">
        <v>35</v>
      </c>
      <c r="B21" s="6" t="s">
        <v>36</v>
      </c>
      <c r="C21" s="6" t="s">
        <v>37</v>
      </c>
    </row>
    <row r="22" ht="15" customHeight="1" spans="1:3" x14ac:dyDescent="0.25">
      <c r="A22" s="15" t="s">
        <v>38</v>
      </c>
      <c r="B22" s="8">
        <f>SUMIF(Expenses!C2:C500,A22,Expenses!E2:E500)</f>
        <v>20</v>
      </c>
      <c r="C22" s="11">
        <f>IF(B8=0,0,B22/B8)</f>
        <v>0</v>
      </c>
    </row>
    <row r="23" ht="15" customHeight="1" spans="1:3" x14ac:dyDescent="0.25">
      <c r="A23" s="16" t="s">
        <v>39</v>
      </c>
      <c r="B23" s="5">
        <f>SUMIF(Expenses!C2:C500,A23,Expenses!E2:E500)</f>
        <v>25</v>
      </c>
      <c r="C23" s="14">
        <f>IF(B8=0,0,B23/B8)</f>
        <v>0</v>
      </c>
    </row>
    <row r="24" ht="15" customHeight="1" spans="1:3" x14ac:dyDescent="0.25">
      <c r="A24" s="15" t="s">
        <v>40</v>
      </c>
      <c r="B24" s="8">
        <f>SUMIF(Expenses!C2:C500,A24,Expenses!E2:E500)</f>
        <v>0</v>
      </c>
      <c r="C24" s="11">
        <f>IF(B8=0,0,B24/B8)</f>
        <v>0</v>
      </c>
    </row>
    <row r="25" ht="15" customHeight="1" spans="1:3" x14ac:dyDescent="0.25">
      <c r="A25" s="16" t="s">
        <v>41</v>
      </c>
      <c r="B25" s="5">
        <f>SUMIF(Expenses!C2:C500,A25,Expenses!E2:E500)</f>
        <v>0</v>
      </c>
      <c r="C25" s="14">
        <f>IF(B8=0,0,B25/B8)</f>
        <v>0</v>
      </c>
    </row>
    <row r="26" ht="15" customHeight="1" spans="1:3" x14ac:dyDescent="0.25">
      <c r="A26" s="15" t="s">
        <v>42</v>
      </c>
      <c r="B26" s="8">
        <f>SUMIF(Expenses!C2:C500,A26,Expenses!E2:E500)</f>
        <v>0</v>
      </c>
      <c r="C26" s="11">
        <f>IF(B8=0,0,B26/B8)</f>
        <v>0</v>
      </c>
    </row>
    <row r="27" ht="15" customHeight="1" spans="1:3" x14ac:dyDescent="0.25">
      <c r="A27" s="16" t="s">
        <v>43</v>
      </c>
      <c r="B27" s="5">
        <f>SUMIF(Expenses!C2:C500,A27,Expenses!E2:E500)</f>
        <v>0</v>
      </c>
      <c r="C27" s="14">
        <f>IF(B8=0,0,B27/B8)</f>
        <v>0</v>
      </c>
    </row>
    <row r="28" ht="15" customHeight="1" spans="1:3" x14ac:dyDescent="0.25">
      <c r="A28" s="15" t="s">
        <v>44</v>
      </c>
      <c r="B28" s="8">
        <f>SUMIF(Expenses!C2:C500,A28,Expenses!E2:E500)</f>
        <v>0</v>
      </c>
      <c r="C28" s="11">
        <f>IF(B8=0,0,B28/B8)</f>
        <v>0</v>
      </c>
    </row>
    <row r="29" ht="15" customHeight="1" spans="1:3" x14ac:dyDescent="0.25">
      <c r="A29" s="16" t="s">
        <v>45</v>
      </c>
      <c r="B29" s="5">
        <f>SUMIF(Expenses!C2:C500,A29,Expenses!E2:E500)</f>
        <v>0</v>
      </c>
      <c r="C29" s="14">
        <f>IF(B8=0,0,B29/B8)</f>
        <v>0</v>
      </c>
    </row>
  </sheetData>
  <mergeCells count="6">
    <mergeCell ref="A1:H1"/>
    <mergeCell ref="A2:H2"/>
    <mergeCell ref="A4:D4"/>
    <mergeCell ref="E4:H4"/>
    <mergeCell ref="A12:D12"/>
    <mergeCell ref="A20:D2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7B"/>
  </sheetPr>
  <dimension ref="A1:I1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8" customWidth="1"/>
    <col min="2" max="4" width="12" customWidth="1"/>
    <col min="5" max="6" width="14" customWidth="1"/>
    <col min="7" max="7" width="22" customWidth="1"/>
    <col min="8" max="9" width="28" customWidth="1"/>
  </cols>
  <sheetData>
    <row r="1" ht="15" customHeight="1" spans="1:9" x14ac:dyDescent="0.25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</row>
  </sheetData>
  <dataValidations count="4">
    <dataValidation type="list" allowBlank="1" errorStyle="stop" sqref="B10:B500">
      <formula1>"Active,Churned,Paused,Trial"</formula1>
      <formula2>0</formula2>
    </dataValidation>
    <dataValidation type="list" allowBlank="1" errorStyle="stop" sqref="B2:B500">
      <formula1>"Active,Churned,Paused,Trial"</formula1>
      <formula2>0</formula2>
    </dataValidation>
    <dataValidation type="list" allowBlank="1" errorStyle="stop" sqref="C10:C500">
      <formula1>"Free,Paid,Enterprise"</formula1>
      <formula2>0</formula2>
    </dataValidation>
    <dataValidation type="list" allowBlank="1" errorStyle="stop" sqref="C2:C500">
      <formula1>"Free,Paid,Enterprise"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J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2" width="18" customWidth="1"/>
    <col min="3" max="3" width="16" customWidth="1"/>
    <col min="4" max="4" width="28" customWidth="1"/>
    <col min="5" max="5" width="14" customWidth="1"/>
    <col min="6" max="6" width="12" customWidth="1"/>
    <col min="7" max="8" width="14" customWidth="1"/>
    <col min="9" max="10" width="24" customWidth="1"/>
  </cols>
  <sheetData>
    <row r="1" ht="26.85" customHeight="1" spans="1:10" x14ac:dyDescent="0.25">
      <c r="A1" s="17" t="s">
        <v>55</v>
      </c>
      <c r="B1" s="17" t="s">
        <v>46</v>
      </c>
      <c r="C1" s="17" t="s">
        <v>56</v>
      </c>
      <c r="D1" s="17" t="s">
        <v>57</v>
      </c>
      <c r="E1" s="17" t="s">
        <v>58</v>
      </c>
      <c r="F1" s="17" t="s">
        <v>59</v>
      </c>
      <c r="G1" s="17" t="s">
        <v>60</v>
      </c>
      <c r="H1" s="17" t="s">
        <v>61</v>
      </c>
      <c r="I1" s="17" t="s">
        <v>62</v>
      </c>
      <c r="J1" s="17" t="s">
        <v>54</v>
      </c>
    </row>
    <row r="2" spans="1:10" x14ac:dyDescent="0.25">
      <c r="A2" s="18">
        <v>46096.61424768518</v>
      </c>
      <c r="B2" t="s">
        <v>63</v>
      </c>
      <c r="C2" t="s">
        <v>64</v>
      </c>
      <c r="D2" t="s">
        <v>65</v>
      </c>
      <c r="E2" s="19">
        <v>99</v>
      </c>
      <c r="F2" s="19">
        <v>0</v>
      </c>
      <c r="G2" s="19">
        <v>99</v>
      </c>
      <c r="H2" t="s">
        <v>66</v>
      </c>
      <c r="I2" t="s">
        <v>67</v>
      </c>
      <c r="J2" t="s">
        <v>65</v>
      </c>
    </row>
  </sheetData>
  <dataValidations count="4">
    <dataValidation type="list" allowBlank="1" errorStyle="stop" sqref="C10:C500">
      <formula1>"Subscription,One-Time,Refund,Trial"</formula1>
      <formula2>0</formula2>
    </dataValidation>
    <dataValidation type="list" allowBlank="1" errorStyle="stop" sqref="C2:C500">
      <formula1>"Subscription,One-Time,Refund,Trial"</formula1>
      <formula2>0</formula2>
    </dataValidation>
    <dataValidation type="list" allowBlank="1" errorStyle="stop" sqref="H10:H500">
      <formula1>"Paid,Pending,Refunded,Failed"</formula1>
      <formula2>0</formula2>
    </dataValidation>
    <dataValidation type="list" allowBlank="1" errorStyle="stop" sqref="H2:H500">
      <formula1>"Paid,Pending,Refunded,Failed"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43A"/>
  </sheetPr>
  <dimension ref="A1:J7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2" width="22" customWidth="1"/>
    <col min="3" max="3" width="20" customWidth="1"/>
    <col min="4" max="4" width="28" customWidth="1"/>
    <col min="5" max="6" width="14" customWidth="1"/>
    <col min="7" max="7" width="16" customWidth="1"/>
    <col min="8" max="8" width="10" customWidth="1"/>
    <col min="9" max="9" width="14" customWidth="1"/>
    <col min="10" max="10" width="24" customWidth="1"/>
  </cols>
  <sheetData>
    <row r="1" ht="26.85" customHeight="1" spans="1:10" x14ac:dyDescent="0.25">
      <c r="A1" s="17" t="s">
        <v>55</v>
      </c>
      <c r="B1" s="17" t="s">
        <v>68</v>
      </c>
      <c r="C1" s="17" t="s">
        <v>35</v>
      </c>
      <c r="D1" s="17" t="s">
        <v>57</v>
      </c>
      <c r="E1" s="17" t="s">
        <v>58</v>
      </c>
      <c r="F1" s="17" t="s">
        <v>69</v>
      </c>
      <c r="G1" s="17" t="s">
        <v>70</v>
      </c>
      <c r="H1" s="17" t="s">
        <v>71</v>
      </c>
      <c r="I1" s="17" t="s">
        <v>72</v>
      </c>
      <c r="J1" s="17" t="s">
        <v>54</v>
      </c>
    </row>
    <row r="2" spans="1:10" x14ac:dyDescent="0.25">
      <c r="A2" s="18">
        <v>46082</v>
      </c>
      <c r="B2" t="s">
        <v>73</v>
      </c>
      <c r="C2" t="s">
        <v>38</v>
      </c>
      <c r="D2" t="s">
        <v>74</v>
      </c>
      <c r="E2" s="19">
        <v>0</v>
      </c>
      <c r="F2" t="s">
        <v>75</v>
      </c>
      <c r="G2" t="s">
        <v>76</v>
      </c>
      <c r="H2" t="s">
        <v>76</v>
      </c>
      <c r="I2" t="s">
        <v>76</v>
      </c>
      <c r="J2" t="s">
        <v>77</v>
      </c>
    </row>
    <row r="3" spans="1:10" x14ac:dyDescent="0.25">
      <c r="A3" s="18">
        <v>46082</v>
      </c>
      <c r="B3" t="s">
        <v>78</v>
      </c>
      <c r="C3" t="s">
        <v>39</v>
      </c>
      <c r="D3" t="s">
        <v>79</v>
      </c>
      <c r="E3" s="19">
        <v>0</v>
      </c>
      <c r="F3" t="s">
        <v>75</v>
      </c>
      <c r="G3" t="s">
        <v>76</v>
      </c>
      <c r="H3" t="s">
        <v>76</v>
      </c>
      <c r="I3" t="s">
        <v>76</v>
      </c>
      <c r="J3" t="s">
        <v>77</v>
      </c>
    </row>
    <row r="4" spans="1:10" x14ac:dyDescent="0.25">
      <c r="A4" s="18">
        <v>46082</v>
      </c>
      <c r="B4" t="s">
        <v>80</v>
      </c>
      <c r="C4" t="s">
        <v>42</v>
      </c>
      <c r="D4" t="s">
        <v>81</v>
      </c>
      <c r="E4" s="19">
        <v>0</v>
      </c>
      <c r="F4" t="s">
        <v>75</v>
      </c>
      <c r="G4" t="s">
        <v>76</v>
      </c>
      <c r="H4" t="s">
        <v>76</v>
      </c>
      <c r="I4" t="s">
        <v>76</v>
      </c>
      <c r="J4" t="s">
        <v>82</v>
      </c>
    </row>
    <row r="5" spans="1:10" x14ac:dyDescent="0.25">
      <c r="A5" s="18">
        <v>46082</v>
      </c>
      <c r="B5" t="s">
        <v>83</v>
      </c>
      <c r="C5" t="s">
        <v>42</v>
      </c>
      <c r="D5" t="s">
        <v>84</v>
      </c>
      <c r="E5" s="19">
        <v>0</v>
      </c>
      <c r="F5" t="s">
        <v>75</v>
      </c>
      <c r="G5" t="s">
        <v>76</v>
      </c>
      <c r="H5" t="s">
        <v>76</v>
      </c>
      <c r="I5" t="s">
        <v>76</v>
      </c>
      <c r="J5" t="s">
        <v>85</v>
      </c>
    </row>
    <row r="6" spans="1:10" x14ac:dyDescent="0.25">
      <c r="A6" s="18">
        <v>46082</v>
      </c>
      <c r="B6" t="s">
        <v>86</v>
      </c>
      <c r="C6" t="s">
        <v>42</v>
      </c>
      <c r="D6" t="s">
        <v>87</v>
      </c>
      <c r="E6" s="19">
        <v>0</v>
      </c>
      <c r="F6" t="s">
        <v>75</v>
      </c>
      <c r="G6" t="s">
        <v>76</v>
      </c>
      <c r="H6" t="s">
        <v>76</v>
      </c>
      <c r="I6" t="s">
        <v>76</v>
      </c>
      <c r="J6" t="s">
        <v>88</v>
      </c>
    </row>
    <row r="7" spans="1:10" x14ac:dyDescent="0.25">
      <c r="A7" s="18">
        <v>46082</v>
      </c>
      <c r="B7" t="s">
        <v>89</v>
      </c>
      <c r="C7" t="s">
        <v>42</v>
      </c>
      <c r="D7" t="s">
        <v>90</v>
      </c>
      <c r="E7" s="19">
        <v>0</v>
      </c>
      <c r="F7" t="s">
        <v>75</v>
      </c>
      <c r="G7" t="s">
        <v>76</v>
      </c>
      <c r="H7" t="s">
        <v>76</v>
      </c>
      <c r="I7" t="s">
        <v>76</v>
      </c>
      <c r="J7" t="s">
        <v>91</v>
      </c>
    </row>
  </sheetData>
  <dataValidations count="10">
    <dataValidation type="list" allowBlank="1" errorStyle="stop" sqref="C10:C500">
      <formula1>"Hosting/Vercel,Supabase/DB,Domain &amp; SSL,Stripe Fees,Software/Tools,Marketing,Contractors,Legal,Accounting,Other"</formula1>
      <formula2>0</formula2>
    </dataValidation>
    <dataValidation type="list" allowBlank="1" errorStyle="stop" sqref="C2:C500">
      <formula1>"Hosting/Vercel,Supabase/DB,Domain &amp; SSL,Stripe Fees,Software/Tools,Marketing,Contractors,Legal,Accounting,Other"</formula1>
      <formula2>0</formula2>
    </dataValidation>
    <dataValidation type="list" allowBlank="1" errorStyle="stop" sqref="F10:F500">
      <formula1>"Monthly,Annual,One-Time,Per transaction"</formula1>
      <formula2>0</formula2>
    </dataValidation>
    <dataValidation type="list" allowBlank="1" errorStyle="stop" sqref="F2:F500">
      <formula1>"Monthly,Annual,One-Time,Per transaction"</formula1>
      <formula2>0</formula2>
    </dataValidation>
    <dataValidation type="list" allowBlank="1" errorStyle="stop" sqref="G10:G500">
      <formula1>"Credit Card,Debit Card,Bank Transfer,PayPal"</formula1>
      <formula2>0</formula2>
    </dataValidation>
    <dataValidation type="list" allowBlank="1" errorStyle="stop" sqref="G2:G500">
      <formula1>"Credit Card,Debit Card,Bank Transfer,PayPal"</formula1>
      <formula2>0</formula2>
    </dataValidation>
    <dataValidation type="list" allowBlank="1" errorStyle="stop" sqref="H10:H500">
      <formula1>"Yes,No"</formula1>
      <formula2>0</formula2>
    </dataValidation>
    <dataValidation type="list" allowBlank="1" errorStyle="stop" sqref="H2:H500">
      <formula1>"Yes,No"</formula1>
      <formula2>0</formula2>
    </dataValidation>
    <dataValidation type="list" allowBlank="1" errorStyle="stop" sqref="I10:I500">
      <formula1>"Yes,No,Partial"</formula1>
      <formula2>0</formula2>
    </dataValidation>
    <dataValidation type="list" allowBlank="1" errorStyle="stop" sqref="I2:I500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5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40" customWidth="1"/>
    <col min="2" max="2" width="18" customWidth="1"/>
    <col min="3" max="3" width="14" customWidth="1"/>
    <col min="4" max="4" width="16" customWidth="1"/>
    <col min="5" max="5" width="18" customWidth="1"/>
  </cols>
  <sheetData>
    <row r="1" ht="39.75" customHeight="1" spans="1:5" x14ac:dyDescent="0.25">
      <c r="A1" s="1" t="s">
        <v>92</v>
      </c>
      <c r="B1" s="1"/>
      <c r="C1" s="1"/>
      <c r="D1" s="1"/>
      <c r="E1" s="1"/>
    </row>
    <row r="3" ht="15" customHeight="1" spans="1:5" x14ac:dyDescent="0.25">
      <c r="A3" s="3" t="s">
        <v>93</v>
      </c>
      <c r="B3" s="3"/>
      <c r="C3" s="3"/>
      <c r="D3" s="3"/>
      <c r="E3" s="3"/>
    </row>
    <row r="4" ht="15" customHeight="1" spans="1:5" x14ac:dyDescent="0.25">
      <c r="A4" s="6"/>
      <c r="B4" s="6" t="s">
        <v>94</v>
      </c>
      <c r="C4" s="6" t="s">
        <v>95</v>
      </c>
      <c r="D4" s="6" t="s">
        <v>96</v>
      </c>
      <c r="E4" s="6" t="s">
        <v>97</v>
      </c>
    </row>
    <row r="5" ht="15" customHeight="1" spans="1:5" x14ac:dyDescent="0.25">
      <c r="A5" s="7" t="s">
        <v>98</v>
      </c>
      <c r="B5" s="8">
        <f>SUMPRODUCT((MONTH('Revenue Log'!A2:A500)&gt;=1)*(MONTH('Revenue Log'!A2:A500)&lt;=3)*(YEAR('Revenue Log'!A2:A500)=2026)*('Revenue Log'!E2:E500))</f>
        <v>0</v>
      </c>
      <c r="C5" s="8">
        <f>SUMPRODUCT((MONTH('Revenue Log'!A2:A500)&gt;=4)*(MONTH('Revenue Log'!A2:A500)&lt;=6)*(YEAR('Revenue Log'!A2:A500)=2026)*('Revenue Log'!E2:E500))</f>
        <v>0</v>
      </c>
      <c r="D5" s="8">
        <f>SUMPRODUCT((MONTH('Revenue Log'!A2:A500)&gt;=7)*(MONTH('Revenue Log'!A2:A500)&lt;=9)*(YEAR('Revenue Log'!A2:A500)=2026)*('Revenue Log'!E2:E500))</f>
        <v>0</v>
      </c>
      <c r="E5" s="8">
        <f>SUMPRODUCT((MONTH('Revenue Log'!A2:A500)&gt;=10)*(MONTH('Revenue Log'!A2:A500)&lt;=12)*(YEAR('Revenue Log'!A2:A500)=2026)*('Revenue Log'!E2:E500))</f>
        <v>0</v>
      </c>
    </row>
    <row r="6" ht="15" customHeight="1" spans="1:5" x14ac:dyDescent="0.25">
      <c r="A6" s="4" t="s">
        <v>41</v>
      </c>
      <c r="B6" s="5">
        <f>SUMPRODUCT((MONTH('Revenue Log'!A2:A500)&gt;=1)*(MONTH('Revenue Log'!A2:A500)&lt;=3)*(YEAR('Revenue Log'!A2:A500)=2026)*('Revenue Log'!F2:F500))</f>
        <v>0</v>
      </c>
      <c r="C6" s="5">
        <f>SUMPRODUCT((MONTH('Revenue Log'!A2:A500)&gt;=4)*(MONTH('Revenue Log'!A2:A500)&lt;=6)*(YEAR('Revenue Log'!A2:A500)=2026)*('Revenue Log'!F2:F500))</f>
        <v>0</v>
      </c>
      <c r="D6" s="5">
        <f>SUMPRODUCT((MONTH('Revenue Log'!A2:A500)&gt;=7)*(MONTH('Revenue Log'!A2:A500)&lt;=9)*(YEAR('Revenue Log'!A2:A500)=2026)*('Revenue Log'!F2:F500))</f>
        <v>0</v>
      </c>
      <c r="E6" s="5">
        <f>SUMPRODUCT((MONTH('Revenue Log'!A2:A500)&gt;=10)*(MONTH('Revenue Log'!A2:A500)&lt;=12)*(YEAR('Revenue Log'!A2:A500)=2026)*('Revenue Log'!F2:F500))</f>
        <v>0</v>
      </c>
    </row>
    <row r="7" ht="15" customHeight="1" spans="1:5" x14ac:dyDescent="0.25">
      <c r="A7" s="7" t="s">
        <v>99</v>
      </c>
      <c r="B7" s="8">
        <f>B5-B6</f>
        <v>0</v>
      </c>
      <c r="C7" s="8">
        <f>C5-C6</f>
        <v>0</v>
      </c>
      <c r="D7" s="8">
        <f>D5-D6</f>
        <v>0</v>
      </c>
      <c r="E7" s="8">
        <f>E5-E6</f>
        <v>0</v>
      </c>
    </row>
    <row r="8" ht="15" customHeight="1" spans="1:5" x14ac:dyDescent="0.25">
      <c r="A8" s="4" t="s">
        <v>100</v>
      </c>
      <c r="B8" s="5">
        <f>SUMPRODUCT((MONTH(Expenses!A2:A500)&gt;=1)*(MONTH(Expenses!A2:A500)&lt;=3)*(YEAR(Expenses!A2:A500)=2026)*(Expenses!E2:E500))</f>
        <v>0</v>
      </c>
      <c r="C8" s="5">
        <f>SUMPRODUCT((MONTH(Expenses!A2:A500)&gt;=4)*(MONTH(Expenses!A2:A500)&lt;=6)*(YEAR(Expenses!A2:A500)=2026)*(Expenses!E2:E500))</f>
        <v>0</v>
      </c>
      <c r="D8" s="5">
        <f>SUMPRODUCT((MONTH(Expenses!A2:A500)&gt;=7)*(MONTH(Expenses!A2:A500)&lt;=9)*(YEAR(Expenses!A2:A500)=2026)*(Expenses!E2:E500))</f>
        <v>0</v>
      </c>
      <c r="E8" s="5">
        <f>SUMPRODUCT((MONTH(Expenses!A2:A500)&gt;=10)*(MONTH(Expenses!A2:A500)&lt;=12)*(YEAR(Expenses!A2:A500)=2026)*(Expenses!E2:E500))</f>
        <v>0</v>
      </c>
    </row>
    <row r="9" ht="15" customHeight="1" spans="1:5" x14ac:dyDescent="0.25">
      <c r="A9" s="7" t="s">
        <v>8</v>
      </c>
      <c r="B9" s="8">
        <f>B7-B8</f>
        <v>0</v>
      </c>
      <c r="C9" s="8">
        <f>C7-C8</f>
        <v>0</v>
      </c>
      <c r="D9" s="8">
        <f>D7-D8</f>
        <v>0</v>
      </c>
      <c r="E9" s="8">
        <f>E7-E8</f>
        <v>0</v>
      </c>
    </row>
    <row r="10" ht="15" customHeight="1" spans="1:5" x14ac:dyDescent="0.25">
      <c r="A10" s="4" t="s">
        <v>101</v>
      </c>
      <c r="B10" s="5">
        <f>MAX(B9*0.25,0)</f>
        <v>0</v>
      </c>
      <c r="C10" s="5">
        <f>MAX(C9*0.25,0)</f>
        <v>0</v>
      </c>
      <c r="D10" s="5">
        <f>MAX(D9*0.25,0)</f>
        <v>0</v>
      </c>
      <c r="E10" s="5">
        <f>MAX(E9*0.25,0)</f>
        <v>0</v>
      </c>
    </row>
    <row r="12" ht="15" customHeight="1" spans="1:5" x14ac:dyDescent="0.25">
      <c r="A12" s="3" t="s">
        <v>102</v>
      </c>
      <c r="B12" s="3"/>
      <c r="C12" s="3"/>
      <c r="D12" s="3"/>
      <c r="E12" s="3"/>
    </row>
    <row r="13" ht="15" customHeight="1" spans="1:2" x14ac:dyDescent="0.25">
      <c r="A13" s="7" t="s">
        <v>103</v>
      </c>
      <c r="B13" s="8">
        <f>SUM(B5:E5)</f>
        <v>0</v>
      </c>
    </row>
    <row r="14" ht="15" customHeight="1" spans="1:2" x14ac:dyDescent="0.25">
      <c r="A14" s="4" t="s">
        <v>104</v>
      </c>
      <c r="B14" s="5">
        <f>SUM(B6:E6)</f>
        <v>0</v>
      </c>
    </row>
    <row r="15" ht="15" customHeight="1" spans="1:2" x14ac:dyDescent="0.25">
      <c r="A15" s="7" t="s">
        <v>99</v>
      </c>
      <c r="B15" s="8">
        <f>SUM(B7:E7)</f>
        <v>0</v>
      </c>
    </row>
    <row r="16" ht="15" customHeight="1" spans="1:2" x14ac:dyDescent="0.25">
      <c r="A16" s="4" t="s">
        <v>105</v>
      </c>
      <c r="B16" s="5">
        <f>SUM(B8:E8)</f>
        <v>0</v>
      </c>
    </row>
    <row r="17" ht="15" customHeight="1" spans="1:2" x14ac:dyDescent="0.25">
      <c r="A17" s="7" t="s">
        <v>8</v>
      </c>
      <c r="B17" s="8">
        <f>SUM(B9:E9)</f>
        <v>0</v>
      </c>
    </row>
    <row r="18" ht="15" customHeight="1" spans="1:2" x14ac:dyDescent="0.25">
      <c r="A18" s="4" t="s">
        <v>106</v>
      </c>
      <c r="B18" s="5">
        <f>MAX(B17*0.25,0)</f>
        <v>0</v>
      </c>
    </row>
    <row r="19" ht="15" customHeight="1" spans="1:2" x14ac:dyDescent="0.25">
      <c r="A19" s="7" t="s">
        <v>107</v>
      </c>
      <c r="B19" s="8">
        <f>B17-B18</f>
        <v>0</v>
      </c>
    </row>
    <row r="21" ht="15" customHeight="1" spans="1:5" x14ac:dyDescent="0.25">
      <c r="A21" s="3" t="s">
        <v>108</v>
      </c>
      <c r="B21" s="3"/>
      <c r="C21" s="3"/>
      <c r="D21" s="3"/>
      <c r="E21" s="3"/>
    </row>
    <row r="22" ht="15" customHeight="1" spans="1:4" x14ac:dyDescent="0.25">
      <c r="A22" s="6" t="s">
        <v>109</v>
      </c>
      <c r="B22" s="6" t="s">
        <v>58</v>
      </c>
      <c r="C22" s="6" t="s">
        <v>110</v>
      </c>
      <c r="D22" s="6" t="s">
        <v>54</v>
      </c>
    </row>
    <row r="23" ht="15" customHeight="1" spans="1:4" x14ac:dyDescent="0.25">
      <c r="A23" s="16" t="s">
        <v>111</v>
      </c>
      <c r="B23" s="20"/>
      <c r="C23" s="21"/>
      <c r="D23" s="21"/>
    </row>
    <row r="24" ht="15" customHeight="1" spans="1:4" x14ac:dyDescent="0.25">
      <c r="A24" s="15" t="s">
        <v>112</v>
      </c>
      <c r="B24" s="22"/>
      <c r="C24" s="23"/>
      <c r="D24" s="23"/>
    </row>
    <row r="25" ht="15" customHeight="1" spans="1:4" x14ac:dyDescent="0.25">
      <c r="A25" s="16" t="s">
        <v>113</v>
      </c>
      <c r="B25" s="20"/>
      <c r="C25" s="21"/>
      <c r="D25" s="21"/>
    </row>
    <row r="26" ht="15" customHeight="1" spans="1:4" x14ac:dyDescent="0.25">
      <c r="A26" s="15" t="s">
        <v>114</v>
      </c>
      <c r="B26" s="22"/>
      <c r="C26" s="23"/>
      <c r="D26" s="23"/>
    </row>
    <row r="27" ht="15" customHeight="1" spans="1:4" x14ac:dyDescent="0.25">
      <c r="A27" s="16" t="s">
        <v>115</v>
      </c>
      <c r="B27" s="20"/>
      <c r="C27" s="21"/>
      <c r="D27" s="21"/>
    </row>
    <row r="28" ht="15" customHeight="1" spans="1:4" x14ac:dyDescent="0.25">
      <c r="A28" s="15" t="s">
        <v>116</v>
      </c>
      <c r="B28" s="22"/>
      <c r="C28" s="23"/>
      <c r="D28" s="23"/>
    </row>
    <row r="29" ht="15" customHeight="1" spans="1:4" x14ac:dyDescent="0.25">
      <c r="A29" s="16" t="s">
        <v>117</v>
      </c>
      <c r="B29" s="20"/>
      <c r="C29" s="21"/>
      <c r="D29" s="21"/>
    </row>
    <row r="30" ht="15" customHeight="1" spans="1:4" x14ac:dyDescent="0.25">
      <c r="A30" s="15" t="s">
        <v>118</v>
      </c>
      <c r="B30" s="22"/>
      <c r="C30" s="23"/>
      <c r="D30" s="23"/>
    </row>
    <row r="31" ht="15" customHeight="1" spans="1:4" x14ac:dyDescent="0.25">
      <c r="A31" s="16" t="s">
        <v>119</v>
      </c>
      <c r="B31" s="20"/>
      <c r="C31" s="21"/>
      <c r="D31" s="21"/>
    </row>
    <row r="32" ht="15" customHeight="1" spans="1:4" x14ac:dyDescent="0.25">
      <c r="A32" s="15" t="s">
        <v>120</v>
      </c>
      <c r="B32" s="22"/>
      <c r="C32" s="23"/>
      <c r="D32" s="23"/>
    </row>
    <row r="33" ht="15" customHeight="1" spans="1:4" x14ac:dyDescent="0.25">
      <c r="A33" s="16" t="s">
        <v>121</v>
      </c>
      <c r="B33" s="20"/>
      <c r="C33" s="21"/>
      <c r="D33" s="21"/>
    </row>
    <row r="34" ht="15" customHeight="1" spans="1:4" x14ac:dyDescent="0.25">
      <c r="A34" s="15" t="s">
        <v>122</v>
      </c>
      <c r="B34" s="22"/>
      <c r="C34" s="23"/>
      <c r="D34" s="23"/>
    </row>
    <row r="35" ht="15" customHeight="1" spans="1:4" x14ac:dyDescent="0.25">
      <c r="A35" s="24" t="s">
        <v>123</v>
      </c>
      <c r="B35" s="25">
        <f>SUM(B23:B34)</f>
        <v>0</v>
      </c>
      <c r="C35" s="26"/>
      <c r="D35" s="26"/>
    </row>
  </sheetData>
  <mergeCells count="4">
    <mergeCell ref="A1:E1"/>
    <mergeCell ref="A3:E3"/>
    <mergeCell ref="A12:E12"/>
    <mergeCell ref="A21:E21"/>
  </mergeCells>
  <dataValidations count="1">
    <dataValidation type="list" allowBlank="1" errorStyle="stop" sqref="C23:C35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MRR Tracker</vt:lpstr>
      <vt:lpstr>Revenue Log</vt:lpstr>
      <vt:lpstr>Expenses</vt:lpstr>
      <vt:lpstr>Tax &amp;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2026-04-06T01:37:12Z</dcterms:created>
  <dcterms:modified xsi:type="dcterms:W3CDTF">2026-04-06T01:37:13Z</dcterms:modified>
</cp:coreProperties>
</file>